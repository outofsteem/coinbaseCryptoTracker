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36\Google Drive\Work\Villani Ventures\"/>
    </mc:Choice>
  </mc:AlternateContent>
  <bookViews>
    <workbookView xWindow="480" yWindow="60" windowWidth="27795" windowHeight="12090"/>
  </bookViews>
  <sheets>
    <sheet name="Dashboard" sheetId="6" r:id="rId1"/>
    <sheet name="Investment Transactions" sheetId="1" r:id="rId2"/>
    <sheet name="WebData" sheetId="7" r:id="rId3"/>
  </sheets>
  <calcPr calcId="162913"/>
</workbook>
</file>

<file path=xl/calcChain.xml><?xml version="1.0" encoding="utf-8"?>
<calcChain xmlns="http://schemas.openxmlformats.org/spreadsheetml/2006/main">
  <c r="B4" i="7" l="1"/>
  <c r="I7" i="6" l="1"/>
  <c r="C6" i="7" l="1"/>
  <c r="B6" i="7"/>
  <c r="A6" i="7"/>
  <c r="C5" i="7"/>
  <c r="B5" i="7"/>
  <c r="A5" i="7"/>
  <c r="C4" i="7"/>
  <c r="K4" i="6"/>
  <c r="A4" i="7"/>
  <c r="J4" i="6" s="1"/>
  <c r="C3" i="7"/>
  <c r="L3" i="6" s="1"/>
  <c r="B3" i="7"/>
  <c r="K3" i="6" s="1"/>
  <c r="A3" i="7"/>
  <c r="J3" i="6" s="1"/>
  <c r="F9" i="1" l="1"/>
  <c r="F8" i="1" l="1"/>
  <c r="L4" i="6"/>
  <c r="J5" i="6"/>
  <c r="K5" i="6"/>
  <c r="L5" i="6"/>
  <c r="J6" i="6"/>
  <c r="K6" i="6"/>
  <c r="L6" i="6"/>
  <c r="C3" i="6"/>
  <c r="D3" i="6"/>
  <c r="C4" i="6"/>
  <c r="D4" i="6"/>
  <c r="C5" i="6"/>
  <c r="D5" i="6"/>
  <c r="C6" i="6"/>
  <c r="D6" i="6"/>
  <c r="D7" i="6"/>
  <c r="B3" i="6" l="1"/>
  <c r="B6" i="6"/>
  <c r="E6" i="6"/>
  <c r="F6" i="6" s="1"/>
  <c r="G6" i="6" s="1"/>
  <c r="E4" i="6"/>
  <c r="F4" i="6" s="1"/>
  <c r="G4" i="6" s="1"/>
  <c r="B5" i="6"/>
  <c r="E5" i="6" l="1"/>
  <c r="F5" i="6" s="1"/>
  <c r="G5" i="6" s="1"/>
  <c r="F7" i="1" l="1"/>
  <c r="F6" i="1" l="1"/>
  <c r="F5" i="1" l="1"/>
  <c r="F4" i="1" l="1"/>
  <c r="F3" i="1"/>
  <c r="B4" i="6"/>
  <c r="E3" i="6"/>
  <c r="F3" i="6" l="1"/>
  <c r="E7" i="6"/>
  <c r="F7" i="6" l="1"/>
  <c r="G7" i="6" s="1"/>
  <c r="G3" i="6"/>
</calcChain>
</file>

<file path=xl/sharedStrings.xml><?xml version="1.0" encoding="utf-8"?>
<sst xmlns="http://schemas.openxmlformats.org/spreadsheetml/2006/main" count="39" uniqueCount="32">
  <si>
    <t>CryptoCurrency Investments</t>
  </si>
  <si>
    <t>Bitcoin</t>
  </si>
  <si>
    <t>Litecoin</t>
  </si>
  <si>
    <t>Invested</t>
  </si>
  <si>
    <t>Purchase Price</t>
  </si>
  <si>
    <t>Purchase Amount</t>
  </si>
  <si>
    <t>Date</t>
  </si>
  <si>
    <t>Coin</t>
  </si>
  <si>
    <t>Effective Price</t>
  </si>
  <si>
    <t>Total Investment</t>
  </si>
  <si>
    <t>Ethereum</t>
  </si>
  <si>
    <t>BTC</t>
  </si>
  <si>
    <t>LTC</t>
  </si>
  <si>
    <t>Buy</t>
  </si>
  <si>
    <t>Sell</t>
  </si>
  <si>
    <t>Spot</t>
  </si>
  <si>
    <t>buy</t>
  </si>
  <si>
    <t>sell</t>
  </si>
  <si>
    <t>spot</t>
  </si>
  <si>
    <t>Investment</t>
  </si>
  <si>
    <t>Sell Value</t>
  </si>
  <si>
    <t>Profit</t>
  </si>
  <si>
    <t>Bitcoin Cash</t>
  </si>
  <si>
    <t>ETH</t>
  </si>
  <si>
    <t>BCH</t>
  </si>
  <si>
    <t>Quantity Owned</t>
  </si>
  <si>
    <t>Spot Price</t>
  </si>
  <si>
    <t>% Gain/Loss</t>
  </si>
  <si>
    <t>Coinbase</t>
  </si>
  <si>
    <t>Mining</t>
  </si>
  <si>
    <t>Webservice Call - Coinbase</t>
  </si>
  <si>
    <t>Last Refresh: 2/16/2018 10:34:08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</si>
</sst>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"/>
    <numFmt numFmtId="165" formatCode="_(&quot;$&quot;* #,##0.0000_);_(&quot;$&quot;* \(#,##0.00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4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6" fontId="0" fillId="0" borderId="1" xfId="0" applyNumberFormat="1" applyBorder="1"/>
    <xf numFmtId="44" fontId="0" fillId="0" borderId="1" xfId="1" applyFont="1" applyBorder="1"/>
    <xf numFmtId="164" fontId="0" fillId="0" borderId="1" xfId="0" applyNumberFormat="1" applyBorder="1"/>
    <xf numFmtId="8" fontId="0" fillId="0" borderId="1" xfId="0" applyNumberFormat="1" applyBorder="1"/>
    <xf numFmtId="44" fontId="0" fillId="0" borderId="1" xfId="1" applyNumberFormat="1" applyFont="1" applyBorder="1"/>
    <xf numFmtId="10" fontId="0" fillId="0" borderId="1" xfId="2" applyNumberFormat="1" applyFont="1" applyBorder="1" applyAlignment="1">
      <alignment horizontal="center"/>
    </xf>
    <xf numFmtId="10" fontId="0" fillId="0" borderId="7" xfId="2" applyNumberFormat="1" applyFont="1" applyBorder="1" applyAlignment="1">
      <alignment horizontal="center"/>
    </xf>
    <xf numFmtId="10" fontId="0" fillId="0" borderId="6" xfId="2" applyNumberFormat="1" applyFont="1" applyBorder="1" applyAlignment="1">
      <alignment horizontal="center"/>
    </xf>
    <xf numFmtId="0" fontId="0" fillId="2" borderId="1" xfId="0" applyFill="1" applyBorder="1" applyAlignment="1"/>
    <xf numFmtId="0" fontId="2" fillId="2" borderId="1" xfId="0" applyFont="1" applyFill="1" applyBorder="1" applyAlignment="1"/>
    <xf numFmtId="44" fontId="1" fillId="0" borderId="1" xfId="1" applyFont="1" applyBorder="1" applyAlignment="1"/>
    <xf numFmtId="0" fontId="0" fillId="0" borderId="1" xfId="0" applyBorder="1" applyAlignment="1"/>
    <xf numFmtId="44" fontId="0" fillId="0" borderId="1" xfId="1" applyFont="1" applyBorder="1" applyAlignment="1"/>
    <xf numFmtId="0" fontId="2" fillId="2" borderId="6" xfId="0" applyFont="1" applyFill="1" applyBorder="1" applyAlignment="1"/>
    <xf numFmtId="0" fontId="0" fillId="0" borderId="6" xfId="0" applyBorder="1" applyAlignment="1"/>
    <xf numFmtId="44" fontId="1" fillId="0" borderId="6" xfId="1" applyFont="1" applyBorder="1" applyAlignment="1"/>
    <xf numFmtId="44" fontId="0" fillId="0" borderId="6" xfId="1" applyFont="1" applyBorder="1" applyAlignment="1"/>
    <xf numFmtId="0" fontId="2" fillId="2" borderId="7" xfId="0" applyFont="1" applyFill="1" applyBorder="1" applyAlignment="1"/>
    <xf numFmtId="44" fontId="2" fillId="0" borderId="7" xfId="1" applyFont="1" applyBorder="1" applyAlignment="1"/>
    <xf numFmtId="0" fontId="0" fillId="0" borderId="7" xfId="0" applyBorder="1" applyAlignment="1"/>
    <xf numFmtId="0" fontId="0" fillId="0" borderId="0" xfId="0" applyAlignment="1"/>
    <xf numFmtId="165" fontId="0" fillId="0" borderId="1" xfId="1" applyNumberFormat="1" applyFont="1" applyBorder="1" applyAlignment="1"/>
    <xf numFmtId="165" fontId="0" fillId="0" borderId="0" xfId="0" applyNumberFormat="1" applyAlignment="1"/>
    <xf numFmtId="44" fontId="0" fillId="0" borderId="0" xfId="0" applyNumberFormat="1" applyAlignment="1"/>
    <xf numFmtId="0" fontId="0" fillId="2" borderId="5" xfId="0" applyFill="1" applyBorder="1" applyAlignment="1"/>
    <xf numFmtId="0" fontId="0" fillId="2" borderId="1" xfId="0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8">
    <dxf>
      <font>
        <color theme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Dashboard!$A$3:$A$6</c:f>
              <c:strCache>
                <c:ptCount val="4"/>
                <c:pt idx="0">
                  <c:v>Bitcoin</c:v>
                </c:pt>
                <c:pt idx="1">
                  <c:v>Bitcoin Cash</c:v>
                </c:pt>
                <c:pt idx="2">
                  <c:v>Ethereum</c:v>
                </c:pt>
                <c:pt idx="3">
                  <c:v>Litecoin</c:v>
                </c:pt>
              </c:strCache>
            </c:strRef>
          </c:cat>
          <c:val>
            <c:numRef>
              <c:f>Dashboard!$F$3:$F$6</c:f>
              <c:numCache>
                <c:formatCode>_("$"* #,##0.00_);_("$"* \(#,##0.00\);_("$"* "-"??_);_(@_)</c:formatCode>
                <c:ptCount val="4"/>
                <c:pt idx="0">
                  <c:v>-48.489185440399979</c:v>
                </c:pt>
                <c:pt idx="1">
                  <c:v>0</c:v>
                </c:pt>
                <c:pt idx="2">
                  <c:v>0</c:v>
                </c:pt>
                <c:pt idx="3">
                  <c:v>152.01246531699996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9B3B-46AD-AB8A-B40B34447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569296"/>
        <c:axId val="494873344"/>
      </c:barChart>
      <c:catAx>
        <c:axId val="5315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3344"/>
        <c:crosses val="autoZero"/>
        <c:auto val="1"/>
        <c:lblAlgn val="ctr"/>
        <c:lblOffset val="0"/>
        <c:tickLblSkip val="1"/>
        <c:noMultiLvlLbl val="0"/>
      </c:catAx>
      <c:valAx>
        <c:axId val="4948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5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</a:t>
            </a:r>
            <a:r>
              <a:rPr lang="en-US" baseline="0"/>
              <a:t> Breakdown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A2-4B85-9DDE-575148F69A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A2-4B85-9DDE-575148F69A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A2-4B85-9DDE-575148F69A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A2-4B85-9DDE-575148F69AD0}"/>
              </c:ext>
            </c:extLst>
          </c:dPt>
          <c:cat>
            <c:strRef>
              <c:f>Dashboard!$A$3:$A$6</c:f>
              <c:strCache>
                <c:ptCount val="4"/>
                <c:pt idx="0">
                  <c:v>Bitcoin</c:v>
                </c:pt>
                <c:pt idx="1">
                  <c:v>Bitcoin Cash</c:v>
                </c:pt>
                <c:pt idx="2">
                  <c:v>Ethereum</c:v>
                </c:pt>
                <c:pt idx="3">
                  <c:v>Litecoin</c:v>
                </c:pt>
              </c:strCache>
            </c:strRef>
          </c:cat>
          <c:val>
            <c:numRef>
              <c:f>Dashboard!$D$3:$D$6</c:f>
              <c:numCache>
                <c:formatCode>_("$"* #,##0.00_);_("$"* \(#,##0.00\);_("$"* "-"??_);_(@_)</c:formatCode>
                <c:ptCount val="4"/>
                <c:pt idx="0">
                  <c:v>959</c:v>
                </c:pt>
                <c:pt idx="1">
                  <c:v>0</c:v>
                </c:pt>
                <c:pt idx="2">
                  <c:v>0</c:v>
                </c:pt>
                <c:pt idx="3">
                  <c:v>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A2-4B85-9DDE-575148F69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562662947322669E-3"/>
          <c:y val="0.85928255721699554"/>
          <c:w val="0.99222957074683571"/>
          <c:h val="0.140717442783004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57150</xdr:rowOff>
    </xdr:from>
    <xdr:to>
      <xdr:col>5</xdr:col>
      <xdr:colOff>457200</xdr:colOff>
      <xdr:row>24</xdr:row>
      <xdr:rowOff>180975</xdr:rowOff>
    </xdr:to>
    <xdr:graphicFrame macro="">
      <xdr:nvGraphicFramePr>
        <xdr:cNvPr id="2" name="Profi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523875</xdr:colOff>
      <xdr:row>9</xdr:row>
      <xdr:rowOff>57149</xdr:rowOff>
    </xdr:from>
    <xdr:to>
      <xdr:col>12</xdr:col>
      <xdr:colOff>800100</xdr:colOff>
      <xdr:row>25</xdr:row>
      <xdr:rowOff>6568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923925</xdr:colOff>
          <xdr:row>9</xdr:row>
          <xdr:rowOff>47625</xdr:rowOff>
        </xdr:from>
        <xdr:to>
          <xdr:col>15</xdr:col>
          <xdr:colOff>295275</xdr:colOff>
          <xdr:row>11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28"/>
  <sheetViews>
    <sheetView showGridLines="0" tabSelected="1" zoomScale="115" zoomScaleNormal="115" workbookViewId="0">
      <selection activeCell="O4" sqref="O4"/>
    </sheetView>
  </sheetViews>
  <sheetFormatPr defaultRowHeight="15" x14ac:dyDescent="0.25"/>
  <cols>
    <col min="1" max="1" width="16.140625" style="25" bestFit="1" customWidth="1"/>
    <col min="2" max="2" width="10" style="25" bestFit="1" customWidth="1"/>
    <col min="3" max="3" width="15.7109375" style="25" bestFit="1" customWidth="1"/>
    <col min="4" max="4" width="11.140625" style="25" bestFit="1" customWidth="1"/>
    <col min="5" max="5" width="11.28515625" style="25" bestFit="1" customWidth="1"/>
    <col min="6" max="6" width="10.28515625" style="25" bestFit="1" customWidth="1"/>
    <col min="7" max="7" width="11.7109375" style="25" bestFit="1" customWidth="1"/>
    <col min="8" max="9" width="9.140625" style="25"/>
    <col min="10" max="10" width="10.7109375" style="25" bestFit="1" customWidth="1"/>
    <col min="11" max="11" width="16.140625" style="25" bestFit="1" customWidth="1"/>
    <col min="12" max="12" width="10" style="25" bestFit="1" customWidth="1"/>
    <col min="13" max="13" width="15.7109375" style="25" bestFit="1" customWidth="1"/>
    <col min="14" max="14" width="11.140625" style="25" bestFit="1" customWidth="1"/>
    <col min="15" max="15" width="10.5703125" style="25" bestFit="1" customWidth="1"/>
    <col min="16" max="16" width="9.140625" style="25"/>
    <col min="17" max="17" width="11.85546875" style="25" bestFit="1" customWidth="1"/>
    <col min="18" max="16384" width="9.140625" style="25"/>
  </cols>
  <sheetData>
    <row r="1" spans="1:12" x14ac:dyDescent="0.25">
      <c r="A1" s="30" t="s">
        <v>31</v>
      </c>
      <c r="B1" s="30"/>
      <c r="C1" s="30"/>
      <c r="D1" s="30"/>
      <c r="E1" s="30"/>
      <c r="F1" s="30"/>
      <c r="G1" s="30"/>
      <c r="I1" s="34" t="s">
        <v>28</v>
      </c>
      <c r="J1" s="35"/>
      <c r="K1" s="35"/>
      <c r="L1" s="36"/>
    </row>
    <row r="2" spans="1:12" x14ac:dyDescent="0.25">
      <c r="A2" s="13"/>
      <c r="B2" s="14" t="s">
        <v>26</v>
      </c>
      <c r="C2" s="14" t="s">
        <v>25</v>
      </c>
      <c r="D2" s="14" t="s">
        <v>19</v>
      </c>
      <c r="E2" s="14" t="s">
        <v>20</v>
      </c>
      <c r="F2" s="14" t="s">
        <v>21</v>
      </c>
      <c r="G2" s="14" t="s">
        <v>27</v>
      </c>
      <c r="I2" s="29"/>
      <c r="J2" s="14" t="s">
        <v>13</v>
      </c>
      <c r="K2" s="14" t="s">
        <v>14</v>
      </c>
      <c r="L2" s="14" t="s">
        <v>15</v>
      </c>
    </row>
    <row r="3" spans="1:12" x14ac:dyDescent="0.25">
      <c r="A3" s="14" t="s">
        <v>1</v>
      </c>
      <c r="B3" s="15" t="str">
        <f>Dashboard!L3</f>
        <v>10130.00</v>
      </c>
      <c r="C3" s="16">
        <f>SUMIF('Investment Transactions'!A:A,$A3,'Investment Transactions'!E:E)</f>
        <v>9.0788339999999995E-2</v>
      </c>
      <c r="D3" s="15">
        <f>SUMIF('Investment Transactions'!A:A,$A3,'Investment Transactions'!C:C)</f>
        <v>959</v>
      </c>
      <c r="E3" s="17">
        <f>C3*Dashboard!K3</f>
        <v>910.51081455960002</v>
      </c>
      <c r="F3" s="17">
        <f>E3-D3</f>
        <v>-48.489185440399979</v>
      </c>
      <c r="G3" s="10">
        <f>IFERROR(F3/D3,"N/A")</f>
        <v>-5.0562237164129283E-2</v>
      </c>
      <c r="I3" s="14" t="s">
        <v>11</v>
      </c>
      <c r="J3" s="26" t="str">
        <f>LEFT(SUBSTITUTE(WebData!A3,"{""data"":{""base"":"""&amp;$I3&amp;""",""currency"":""USD"",""amount"":""",""), SEARCH("""",SUBSTITUTE(WebData!A3,"{""data"":{""base"":"""&amp;$I3&amp;""",""currency"":""USD"",""amount"":""",""))-1)</f>
        <v>10231.55</v>
      </c>
      <c r="K3" s="26" t="str">
        <f>LEFT(SUBSTITUTE(WebData!B3,"{""data"":{""base"":"""&amp;$I3&amp;""",""currency"":""USD"",""amount"":""",""), SEARCH("""",SUBSTITUTE(WebData!B3,"{""data"":{""base"":"""&amp;$I3&amp;""",""currency"":""USD"",""amount"":""",""))-1)</f>
        <v>10028.94</v>
      </c>
      <c r="L3" s="26" t="str">
        <f>LEFT(SUBSTITUTE(WebData!C3,"{""data"":{""base"":"""&amp;$I3&amp;""",""currency"":""USD"",""amount"":""",""), SEARCH("""",SUBSTITUTE(WebData!C3,"{""data"":{""base"":"""&amp;$I3&amp;""",""currency"":""USD"",""amount"":""",""))-1)</f>
        <v>10130.00</v>
      </c>
    </row>
    <row r="4" spans="1:12" x14ac:dyDescent="0.25">
      <c r="A4" s="14" t="s">
        <v>22</v>
      </c>
      <c r="B4" s="15" t="str">
        <f>Dashboard!L4</f>
        <v>1499.75</v>
      </c>
      <c r="C4" s="16">
        <f>SUMIF('Investment Transactions'!A:A,$A4,'Investment Transactions'!E:E)</f>
        <v>0</v>
      </c>
      <c r="D4" s="15">
        <f>SUMIF('Investment Transactions'!A:A,$A4,'Investment Transactions'!C:C)</f>
        <v>0</v>
      </c>
      <c r="E4" s="17">
        <f>C4*Dashboard!K4</f>
        <v>0</v>
      </c>
      <c r="F4" s="17">
        <f>E4-D4</f>
        <v>0</v>
      </c>
      <c r="G4" s="10" t="str">
        <f>IFERROR(F4/D4,"N/A")</f>
        <v>N/A</v>
      </c>
      <c r="I4" s="14" t="s">
        <v>24</v>
      </c>
      <c r="J4" s="26" t="str">
        <f>LEFT(SUBSTITUTE(WebData!A4,"{""data"":{""base"":"""&amp;$I4&amp;""",""currency"":""USD"",""amount"":""",""), SEARCH("""",SUBSTITUTE(WebData!A4,"{""data"":{""base"":"""&amp;$I4&amp;""",""currency"":""USD"",""amount"":""",""))-1)</f>
        <v>1515.04</v>
      </c>
      <c r="K4" s="26" t="str">
        <f>LEFT(SUBSTITUTE(WebData!B4,"{""data"":{""base"":"""&amp;$I4&amp;""",""currency"":""USD"",""amount"":""",""), SEARCH("""",SUBSTITUTE(WebData!B4,"{""data"":{""base"":"""&amp;$I4&amp;""",""currency"":""USD"",""amount"":""",""))-1)</f>
        <v>1484.78</v>
      </c>
      <c r="L4" s="26" t="str">
        <f>LEFT(SUBSTITUTE(WebData!C4,"{""data"":{""base"":"""&amp;$I4&amp;""",""currency"":""USD"",""amount"":""",""), SEARCH("""",SUBSTITUTE(WebData!C4,"{""data"":{""base"":"""&amp;$I4&amp;""",""currency"":""USD"",""amount"":""",""))-1)</f>
        <v>1499.75</v>
      </c>
    </row>
    <row r="5" spans="1:12" x14ac:dyDescent="0.25">
      <c r="A5" s="14" t="s">
        <v>10</v>
      </c>
      <c r="B5" s="15" t="str">
        <f>Dashboard!L5</f>
        <v>933.50</v>
      </c>
      <c r="C5" s="16">
        <f>SUMIF('Investment Transactions'!A:A,$A5,'Investment Transactions'!E:E)</f>
        <v>0</v>
      </c>
      <c r="D5" s="15">
        <f>SUMIF('Investment Transactions'!A:A,$A5,'Investment Transactions'!C:C)</f>
        <v>0</v>
      </c>
      <c r="E5" s="17">
        <f>C5*Dashboard!K5</f>
        <v>0</v>
      </c>
      <c r="F5" s="17">
        <f>E5-D5</f>
        <v>0</v>
      </c>
      <c r="G5" s="10" t="str">
        <f>IFERROR(F5/D5,"N/A")</f>
        <v>N/A</v>
      </c>
      <c r="I5" s="14" t="s">
        <v>23</v>
      </c>
      <c r="J5" s="26" t="str">
        <f>LEFT(SUBSTITUTE(WebData!A5,"{""data"":{""base"":"""&amp;$I5&amp;""",""currency"":""USD"",""amount"":""",""), SEARCH("""",SUBSTITUTE(WebData!A5,"{""data"":{""base"":"""&amp;$I5&amp;""",""currency"":""USD"",""amount"":""",""))-1)</f>
        <v>942.86</v>
      </c>
      <c r="K5" s="26" t="str">
        <f>LEFT(SUBSTITUTE(WebData!B5,"{""data"":{""base"":"""&amp;$I5&amp;""",""currency"":""USD"",""amount"":""",""), SEARCH("""",SUBSTITUTE(WebData!B5,"{""data"":{""base"":"""&amp;$I5&amp;""",""currency"":""USD"",""amount"":""",""))-1)</f>
        <v>924.18</v>
      </c>
      <c r="L5" s="26" t="str">
        <f>LEFT(SUBSTITUTE(WebData!C5,"{""data"":{""base"":"""&amp;$I5&amp;""",""currency"":""USD"",""amount"":""",""), SEARCH("""",SUBSTITUTE(WebData!C5,"{""data"":{""base"":"""&amp;$I5&amp;""",""currency"":""USD"",""amount"":""",""))-1)</f>
        <v>933.50</v>
      </c>
    </row>
    <row r="6" spans="1:12" ht="15.75" thickBot="1" x14ac:dyDescent="0.3">
      <c r="A6" s="18" t="s">
        <v>2</v>
      </c>
      <c r="B6" s="15" t="str">
        <f>Dashboard!L6</f>
        <v>233.40</v>
      </c>
      <c r="C6" s="19">
        <f>SUMIF('Investment Transactions'!A:A,$A6,'Investment Transactions'!E:E)</f>
        <v>3.8475394499999997</v>
      </c>
      <c r="D6" s="20">
        <f>SUMIF('Investment Transactions'!A:A,$A6,'Investment Transactions'!C:C)</f>
        <v>737</v>
      </c>
      <c r="E6" s="21">
        <f>C6*Dashboard!K6</f>
        <v>889.01246531699996</v>
      </c>
      <c r="F6" s="21">
        <f>E6-D6</f>
        <v>152.01246531699996</v>
      </c>
      <c r="G6" s="12">
        <f>IFERROR(F6/D6,"N/A")</f>
        <v>0.20625843326594295</v>
      </c>
      <c r="I6" s="14" t="s">
        <v>12</v>
      </c>
      <c r="J6" s="26" t="str">
        <f>LEFT(SUBSTITUTE(WebData!A6,"{""data"":{""base"":"""&amp;$I6&amp;""",""currency"":""USD"",""amount"":""",""), SEARCH("""",SUBSTITUTE(WebData!A6,"{""data"":{""base"":"""&amp;$I6&amp;""",""currency"":""USD"",""amount"":""",""))-1)</f>
        <v>236.23</v>
      </c>
      <c r="K6" s="26" t="str">
        <f>LEFT(SUBSTITUTE(WebData!B6,"{""data"":{""base"":"""&amp;$I6&amp;""",""currency"":""USD"",""amount"":""",""), SEARCH("""",SUBSTITUTE(WebData!B6,"{""data"":{""base"":"""&amp;$I6&amp;""",""currency"":""USD"",""amount"":""",""))-1)</f>
        <v>231.06</v>
      </c>
      <c r="L6" s="26" t="str">
        <f>LEFT(SUBSTITUTE(WebData!C6,"{""data"":{""base"":"""&amp;$I6&amp;""",""currency"":""USD"",""amount"":""",""), SEARCH("""",SUBSTITUTE(WebData!C6,"{""data"":{""base"":"""&amp;$I6&amp;""",""currency"":""USD"",""amount"":""",""))-1)</f>
        <v>233.40</v>
      </c>
    </row>
    <row r="7" spans="1:12" ht="15.75" thickTop="1" x14ac:dyDescent="0.25">
      <c r="A7" s="22" t="s">
        <v>9</v>
      </c>
      <c r="B7" s="23"/>
      <c r="C7" s="24"/>
      <c r="D7" s="23">
        <f>SUM('Investment Transactions'!C:C)</f>
        <v>1696</v>
      </c>
      <c r="E7" s="23">
        <f>SUM(E3:E6)</f>
        <v>1799.5232798766001</v>
      </c>
      <c r="F7" s="23">
        <f>SUM(F3:F6)</f>
        <v>103.52327987659999</v>
      </c>
      <c r="G7" s="11">
        <f>F7/D7</f>
        <v>6.1039669738561314E-2</v>
      </c>
      <c r="I7" s="31" t="str">
        <f>A1</f>
        <v>Last Refresh: 2/16/2018 10:34:08 AM</v>
      </c>
      <c r="J7" s="32"/>
      <c r="K7" s="32"/>
      <c r="L7" s="33"/>
    </row>
    <row r="23" spans="1:17" x14ac:dyDescent="0.25">
      <c r="Q23" s="27"/>
    </row>
    <row r="24" spans="1:17" x14ac:dyDescent="0.25">
      <c r="Q24" s="28"/>
    </row>
    <row r="28" spans="1:17" x14ac:dyDescent="0.25">
      <c r="A28" s="25" t="s">
        <v>29</v>
      </c>
    </row>
  </sheetData>
  <mergeCells count="3">
    <mergeCell ref="A1:G1"/>
    <mergeCell ref="I7:L7"/>
    <mergeCell ref="I1:L1"/>
  </mergeCells>
  <conditionalFormatting sqref="F3:F7">
    <cfRule type="cellIs" dxfId="17" priority="8" operator="lessThan">
      <formula>0</formula>
    </cfRule>
    <cfRule type="cellIs" dxfId="16" priority="9" operator="greaterThan">
      <formula>0</formula>
    </cfRule>
  </conditionalFormatting>
  <conditionalFormatting sqref="G3">
    <cfRule type="cellIs" dxfId="15" priority="6" operator="lessThan">
      <formula>0</formula>
    </cfRule>
    <cfRule type="cellIs" dxfId="14" priority="7" operator="greaterThan">
      <formula>0</formula>
    </cfRule>
  </conditionalFormatting>
  <conditionalFormatting sqref="G4:G6">
    <cfRule type="cellIs" dxfId="13" priority="4" operator="lessThan">
      <formula>0</formula>
    </cfRule>
    <cfRule type="cellIs" dxfId="12" priority="5" operator="greaterThan">
      <formula>0</formula>
    </cfRule>
  </conditionalFormatting>
  <conditionalFormatting sqref="G7">
    <cfRule type="cellIs" dxfId="11" priority="2" operator="lessThan">
      <formula>0</formula>
    </cfRule>
    <cfRule type="cellIs" dxfId="10" priority="3" operator="greaterThan">
      <formula>0</formula>
    </cfRule>
  </conditionalFormatting>
  <conditionalFormatting sqref="G3:G7">
    <cfRule type="cellIs" dxfId="9" priority="1" operator="equal">
      <formula>"N/A"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923925</xdr:colOff>
                    <xdr:row>9</xdr:row>
                    <xdr:rowOff>47625</xdr:rowOff>
                  </from>
                  <to>
                    <xdr:col>15</xdr:col>
                    <xdr:colOff>295275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"/>
  <sheetViews>
    <sheetView workbookViewId="0">
      <selection activeCell="A10" sqref="A10"/>
    </sheetView>
  </sheetViews>
  <sheetFormatPr defaultRowHeight="15" x14ac:dyDescent="0.25"/>
  <cols>
    <col min="2" max="2" width="9.7109375" bestFit="1" customWidth="1"/>
    <col min="3" max="3" width="11.5703125" bestFit="1" customWidth="1"/>
    <col min="4" max="4" width="14" bestFit="1" customWidth="1"/>
    <col min="5" max="5" width="18.7109375" customWidth="1"/>
    <col min="6" max="6" width="14.7109375" customWidth="1"/>
    <col min="11" max="11" width="18.140625" customWidth="1"/>
    <col min="12" max="12" width="10" bestFit="1" customWidth="1"/>
    <col min="13" max="13" width="18.140625" customWidth="1"/>
    <col min="14" max="14" width="11.140625" bestFit="1" customWidth="1"/>
    <col min="15" max="15" width="12" bestFit="1" customWidth="1"/>
    <col min="16" max="16" width="12.7109375" bestFit="1" customWidth="1"/>
    <col min="17" max="17" width="11.7109375" bestFit="1" customWidth="1"/>
  </cols>
  <sheetData>
    <row r="1" spans="1:8" x14ac:dyDescent="0.25">
      <c r="A1" s="37" t="s">
        <v>0</v>
      </c>
      <c r="B1" s="38"/>
      <c r="C1" s="38"/>
      <c r="D1" s="38"/>
      <c r="E1" s="38"/>
      <c r="F1" s="39"/>
    </row>
    <row r="2" spans="1:8" x14ac:dyDescent="0.25">
      <c r="A2" s="2" t="s">
        <v>7</v>
      </c>
      <c r="B2" s="2" t="s">
        <v>6</v>
      </c>
      <c r="C2" s="2" t="s">
        <v>3</v>
      </c>
      <c r="D2" s="2" t="s">
        <v>4</v>
      </c>
      <c r="E2" s="2" t="s">
        <v>5</v>
      </c>
      <c r="F2" s="2" t="s">
        <v>8</v>
      </c>
      <c r="H2" s="1"/>
    </row>
    <row r="3" spans="1:8" x14ac:dyDescent="0.25">
      <c r="A3" s="3" t="s">
        <v>1</v>
      </c>
      <c r="B3" s="4">
        <v>43117</v>
      </c>
      <c r="C3" s="5">
        <v>750</v>
      </c>
      <c r="D3" s="6">
        <v>10062.08</v>
      </c>
      <c r="E3" s="7">
        <v>7.1677030000000003E-2</v>
      </c>
      <c r="F3" s="8">
        <f t="shared" ref="F3:F9" si="0">C3/E3</f>
        <v>10463.603193380082</v>
      </c>
    </row>
    <row r="4" spans="1:8" x14ac:dyDescent="0.25">
      <c r="A4" s="3" t="s">
        <v>2</v>
      </c>
      <c r="B4" s="4">
        <v>43119</v>
      </c>
      <c r="C4" s="5">
        <v>238</v>
      </c>
      <c r="D4" s="6">
        <v>190.78</v>
      </c>
      <c r="E4" s="7">
        <v>1.1995860199999999</v>
      </c>
      <c r="F4" s="8">
        <f t="shared" si="0"/>
        <v>198.40177864026793</v>
      </c>
    </row>
    <row r="5" spans="1:8" x14ac:dyDescent="0.25">
      <c r="A5" s="3" t="s">
        <v>2</v>
      </c>
      <c r="B5" s="4">
        <v>43121</v>
      </c>
      <c r="C5" s="5">
        <v>184</v>
      </c>
      <c r="D5" s="9">
        <v>188.11</v>
      </c>
      <c r="E5" s="7">
        <v>0.94064060000000005</v>
      </c>
      <c r="F5" s="8">
        <f t="shared" si="0"/>
        <v>195.61137378080426</v>
      </c>
    </row>
    <row r="6" spans="1:8" x14ac:dyDescent="0.25">
      <c r="A6" s="3" t="s">
        <v>2</v>
      </c>
      <c r="B6" s="4">
        <v>43122</v>
      </c>
      <c r="C6" s="5">
        <v>96</v>
      </c>
      <c r="D6" s="9">
        <v>172.11</v>
      </c>
      <c r="E6" s="7">
        <v>0.53641282999999995</v>
      </c>
      <c r="F6" s="8">
        <f t="shared" si="0"/>
        <v>178.96663657355103</v>
      </c>
      <c r="H6" s="1"/>
    </row>
    <row r="7" spans="1:8" x14ac:dyDescent="0.25">
      <c r="A7" s="3" t="s">
        <v>1</v>
      </c>
      <c r="B7" s="4">
        <v>43123</v>
      </c>
      <c r="C7" s="5">
        <v>108</v>
      </c>
      <c r="D7" s="6">
        <v>10441.950000000001</v>
      </c>
      <c r="E7" s="7">
        <v>9.9464199999999992E-3</v>
      </c>
      <c r="F7" s="8">
        <f t="shared" si="0"/>
        <v>10858.178118358164</v>
      </c>
    </row>
    <row r="8" spans="1:8" x14ac:dyDescent="0.25">
      <c r="A8" s="3" t="s">
        <v>2</v>
      </c>
      <c r="B8" s="4">
        <v>43125</v>
      </c>
      <c r="C8" s="5">
        <v>219</v>
      </c>
      <c r="D8" s="6">
        <v>179.86</v>
      </c>
      <c r="E8" s="7">
        <v>1.1709000000000001</v>
      </c>
      <c r="F8" s="8">
        <f t="shared" si="0"/>
        <v>187.03561363054061</v>
      </c>
    </row>
    <row r="9" spans="1:8" x14ac:dyDescent="0.25">
      <c r="A9" s="3" t="s">
        <v>1</v>
      </c>
      <c r="B9" s="4">
        <v>43126</v>
      </c>
      <c r="C9" s="5">
        <v>101</v>
      </c>
      <c r="D9" s="6">
        <v>10596.96</v>
      </c>
      <c r="E9" s="7">
        <v>9.1648900000000002E-3</v>
      </c>
      <c r="F9" s="8">
        <f t="shared" si="0"/>
        <v>11020.31775613237</v>
      </c>
    </row>
    <row r="10" spans="1:8" x14ac:dyDescent="0.25">
      <c r="E10" s="1"/>
    </row>
  </sheetData>
  <mergeCells count="1">
    <mergeCell ref="A1:F1"/>
  </mergeCells>
  <conditionalFormatting sqref="P7 P10:P1048576">
    <cfRule type="cellIs" dxfId="8" priority="16" operator="lessThan">
      <formula>0</formula>
    </cfRule>
    <cfRule type="cellIs" dxfId="7" priority="17" operator="greaterThan">
      <formula>0</formula>
    </cfRule>
  </conditionalFormatting>
  <conditionalFormatting sqref="Q7 Q10:Q1048576">
    <cfRule type="cellIs" dxfId="6" priority="7" operator="equal">
      <formula>"N/A"</formula>
    </cfRule>
  </conditionalFormatting>
  <conditionalFormatting sqref="P8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Q8">
    <cfRule type="cellIs" dxfId="3" priority="4" operator="equal">
      <formula>"N/A"</formula>
    </cfRule>
  </conditionalFormatting>
  <conditionalFormatting sqref="P9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Q9">
    <cfRule type="cellIs" dxfId="0" priority="1" operator="equal">
      <formula>"N/A"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B5" sqref="B5"/>
    </sheetView>
  </sheetViews>
  <sheetFormatPr defaultRowHeight="15" x14ac:dyDescent="0.25"/>
  <sheetData>
    <row r="1" spans="1:3" x14ac:dyDescent="0.25">
      <c r="A1" s="40" t="s">
        <v>30</v>
      </c>
      <c r="B1" s="41"/>
      <c r="C1" s="42"/>
    </row>
    <row r="2" spans="1:3" x14ac:dyDescent="0.25">
      <c r="A2" s="13" t="s">
        <v>16</v>
      </c>
      <c r="B2" s="13" t="s">
        <v>17</v>
      </c>
      <c r="C2" s="13" t="s">
        <v>18</v>
      </c>
    </row>
    <row r="3" spans="1:3" x14ac:dyDescent="0.25">
      <c r="A3" s="16" t="str">
        <f>_xlfn.WEBSERVICE("https://api.coinbase.com/v2/prices/"&amp;Dashboard!$I3&amp;"-USD/"&amp;A$2)</f>
        <v>{"data":{"base":"BTC","currency":"USD","amount":"10231.55"}}</v>
      </c>
      <c r="B3" s="16" t="str">
        <f>_xlfn.WEBSERVICE("https://api.coinbase.com/v2/prices/"&amp;Dashboard!$I3&amp;"-USD/"&amp;B$2)</f>
        <v>{"data":{"base":"BTC","currency":"USD","amount":"10028.94"}}</v>
      </c>
      <c r="C3" s="16" t="str">
        <f>_xlfn.WEBSERVICE("https://api.coinbase.com/v2/prices/"&amp;Dashboard!$I3&amp;"-USD/"&amp;C$2)</f>
        <v>{"data":{"base":"BTC","currency":"USD","amount":"10130.00"}}</v>
      </c>
    </row>
    <row r="4" spans="1:3" x14ac:dyDescent="0.25">
      <c r="A4" s="16" t="str">
        <f>_xlfn.WEBSERVICE("https://api.coinbase.com/v2/prices/"&amp;Dashboard!$I4&amp;"-USD/"&amp;A$2)</f>
        <v>{"data":{"base":"BCH","currency":"USD","amount":"1515.04"}}</v>
      </c>
      <c r="B4" s="16" t="str">
        <f>_xlfn.WEBSERVICE("https://api.coinbase.com/v2/prices/"&amp;Dashboard!$I4&amp;"-USD/"&amp;B$2)</f>
        <v>{"data":{"base":"BCH","currency":"USD","amount":"1484.78"},"warnings":[{"id":"missing_version","message":"Please supply API version (YYYY-MM-DD) as CB-VERSION header","url":"https://developers.coinbase.com/api#versioning"}]}</v>
      </c>
      <c r="C4" s="16" t="str">
        <f>_xlfn.WEBSERVICE("https://api.coinbase.com/v2/prices/"&amp;Dashboard!$I4&amp;"-USD/"&amp;C$2)</f>
        <v>{"data":{"base":"BCH","currency":"USD","amount":"1499.75"}}</v>
      </c>
    </row>
    <row r="5" spans="1:3" x14ac:dyDescent="0.25">
      <c r="A5" s="16" t="str">
        <f>_xlfn.WEBSERVICE("https://api.coinbase.com/v2/prices/"&amp;Dashboard!$I5&amp;"-USD/"&amp;A$2)</f>
        <v>{"data":{"base":"ETH","currency":"USD","amount":"942.86"}}</v>
      </c>
      <c r="B5" s="16" t="str">
        <f>_xlfn.WEBSERVICE("https://api.coinbase.com/v2/prices/"&amp;Dashboard!$I5&amp;"-USD/"&amp;B$2)</f>
        <v>{"data":{"base":"ETH","currency":"USD","amount":"924.18"}}</v>
      </c>
      <c r="C5" s="16" t="str">
        <f>_xlfn.WEBSERVICE("https://api.coinbase.com/v2/prices/"&amp;Dashboard!$I5&amp;"-USD/"&amp;C$2)</f>
        <v>{"data":{"base":"ETH","currency":"USD","amount":"933.50"}}</v>
      </c>
    </row>
    <row r="6" spans="1:3" x14ac:dyDescent="0.25">
      <c r="A6" s="16" t="str">
        <f>_xlfn.WEBSERVICE("https://api.coinbase.com/v2/prices/"&amp;Dashboard!$I6&amp;"-USD/"&amp;A$2)</f>
        <v>{"data":{"base":"LTC","currency":"USD","amount":"236.23"}}</v>
      </c>
      <c r="B6" s="16" t="str">
        <f>_xlfn.WEBSERVICE("https://api.coinbase.com/v2/prices/"&amp;Dashboard!$I6&amp;"-USD/"&amp;B$2)</f>
        <v>{"data":{"base":"LTC","currency":"USD","amount":"231.06"},"warnings":[{"id":"missing_version","message":"Please supply API version (YYYY-MM-DD) as CB-VERSION header","url":"https://developers.coinbase.com/api#versioning"}]}</v>
      </c>
      <c r="C6" s="16" t="str">
        <f>_xlfn.WEBSERVICE("https://api.coinbase.com/v2/prices/"&amp;Dashboard!$I6&amp;"-USD/"&amp;C$2)</f>
        <v>{"data":{"base":"LTC","currency":"USD","amount":"233.40"}}</v>
      </c>
    </row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0E8366-0EDE-4DD3-9048-2544F486B9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Investment Transactions</vt:lpstr>
      <vt:lpstr>WebData</vt:lpstr>
    </vt:vector>
  </TitlesOfParts>
  <Company>Manhattan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 V</cp:lastModifiedBy>
  <dcterms:created xsi:type="dcterms:W3CDTF">2018-01-19T23:05:11Z</dcterms:created>
  <dcterms:modified xsi:type="dcterms:W3CDTF">2018-02-16T15:35:07Z</dcterms:modified>
</cp:coreProperties>
</file>